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eamiento" sheetId="1" state="visible" r:id="rId1"/>
    <sheet name="Simplex" sheetId="2" state="visible" r:id="rId2"/>
    <sheet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</font>
    <font>
      <b val="1"/>
    </font>
    <font>
      <i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0" fillId="3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4" fillId="5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6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4" fillId="7" borderId="1" applyAlignment="1" pivotButton="0" quotePrefix="0" xfId="0">
      <alignment horizontal="center"/>
    </xf>
    <xf numFmtId="0" fontId="5" fillId="0" borderId="0" pivotButton="0" quotePrefix="0" xfId="0"/>
    <xf numFmtId="0" fontId="0" fillId="0" borderId="1" pivotButton="0" quotePrefix="0" xfId="0"/>
    <xf numFmtId="0" fontId="4" fillId="0" borderId="1" pivotButton="0" quotePrefix="0" xfId="0"/>
    <xf numFmtId="164" fontId="4" fillId="5" borderId="1" applyAlignment="1" pivotButton="0" quotePrefix="0" xfId="0">
      <alignment horizontal="center"/>
    </xf>
    <xf numFmtId="164" fontId="0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1" customWidth="1" min="4" max="4"/>
    <col width="11" customWidth="1" min="5" max="5"/>
    <col width="12" customWidth="1" min="7" max="7"/>
    <col width="12" customWidth="1" min="8" max="8"/>
    <col width="10" customWidth="1" min="9" max="9"/>
    <col width="12" customWidth="1" min="10" max="10"/>
    <col width="13" customWidth="1" min="11" max="11"/>
  </cols>
  <sheetData>
    <row r="1">
      <c r="A1" s="1" t="inlineStr">
        <is>
          <t>Ejercicio 1 — Problema de programación lineal</t>
        </is>
      </c>
    </row>
    <row r="2"/>
    <row r="3">
      <c r="A3" t="inlineStr">
        <is>
          <t>Maximizar  z = 120·x1 + 80·x2 + 100·x3 + 150·x4</t>
        </is>
      </c>
    </row>
    <row r="4">
      <c r="A4" t="inlineStr">
        <is>
          <t>sujeto a:</t>
        </is>
      </c>
    </row>
    <row r="5">
      <c r="A5" t="inlineStr">
        <is>
          <t xml:space="preserve">    4·x1 + 1·x2 + 2·x3 + 3·x4  ≤  60</t>
        </is>
      </c>
    </row>
    <row r="6">
      <c r="A6" t="inlineStr">
        <is>
          <t xml:space="preserve">    2·x1 + 2·x2 + 1·x3 + 3·x4  ≤  48</t>
        </is>
      </c>
    </row>
    <row r="7">
      <c r="A7" t="inlineStr">
        <is>
          <t xml:space="preserve">    1·x1 + 1·x2 + 3·x3 + 2·x4  ≤  36</t>
        </is>
      </c>
    </row>
    <row r="8">
      <c r="A8" t="inlineStr">
        <is>
          <t xml:space="preserve">    3·x1 + 1·x2 + 2·x3 + 4·x4  ≤  30</t>
        </is>
      </c>
    </row>
    <row r="9">
      <c r="A9" t="inlineStr">
        <is>
          <t xml:space="preserve">    x1, x2, x3, x4  ≥  0</t>
        </is>
      </c>
    </row>
    <row r="10"/>
    <row r="11">
      <c r="A11" s="2" t="inlineStr">
        <is>
          <t>Forma estándar (se agregan las variables de holgura s1, s2, s3, s4)</t>
        </is>
      </c>
    </row>
    <row r="12">
      <c r="A12" t="inlineStr">
        <is>
          <t>Maximizar  z = 120·x1 + 80·x2 + 100·x3 + 150·x4 + 0·s1 + 0·s2 + 0·s3 + 0·s4</t>
        </is>
      </c>
    </row>
    <row r="13">
      <c r="A13" t="inlineStr">
        <is>
          <t xml:space="preserve">    4·x1 + 1·x2 + 2·x3 + 3·x4 + s1                = 60</t>
        </is>
      </c>
    </row>
    <row r="14">
      <c r="A14" t="inlineStr">
        <is>
          <t xml:space="preserve">    2·x1 + 2·x2 + 1·x3 + 3·x4      + s2           = 48</t>
        </is>
      </c>
    </row>
    <row r="15">
      <c r="A15" t="inlineStr">
        <is>
          <t xml:space="preserve">    1·x1 + 1·x2 + 3·x3 + 2·x4           + s3      = 36</t>
        </is>
      </c>
    </row>
    <row r="16">
      <c r="A16" t="inlineStr">
        <is>
          <t xml:space="preserve">    3·x1 + 1·x2 + 2·x3 + 4·x4                + s4 = 30</t>
        </is>
      </c>
    </row>
    <row r="17">
      <c r="A17" t="inlineStr">
        <is>
          <t xml:space="preserve">    x1, x2, x3, x4, s1, s2, s3, s4  ≥  0</t>
        </is>
      </c>
    </row>
    <row r="18">
      <c r="A18" t="inlineStr">
        <is>
          <t>La fila z se escribe como  z − 120·x1 − 80·x2 − 100·x3 − 150·x4 = 0,</t>
        </is>
      </c>
    </row>
    <row r="19">
      <c r="A19" t="inlineStr">
        <is>
          <t>por lo que en el tableau los coeficientes de la función objetivo aparecen con signo negativo.</t>
        </is>
      </c>
    </row>
    <row r="20"/>
    <row r="21">
      <c r="A21" s="2" t="inlineStr">
        <is>
          <t>Datos del modelo</t>
        </is>
      </c>
    </row>
    <row r="22">
      <c r="A22" t="inlineStr"/>
      <c r="B22" s="3" t="inlineStr">
        <is>
          <t>x1</t>
        </is>
      </c>
      <c r="C22" s="3" t="inlineStr">
        <is>
          <t>x2</t>
        </is>
      </c>
      <c r="D22" s="3" t="inlineStr">
        <is>
          <t>x3</t>
        </is>
      </c>
      <c r="E22" s="3" t="inlineStr">
        <is>
          <t>x4</t>
        </is>
      </c>
      <c r="F22" t="inlineStr"/>
      <c r="G22" s="3" t="inlineStr">
        <is>
          <t>LHS</t>
        </is>
      </c>
      <c r="H22" s="3" t="inlineStr">
        <is>
          <t>Signo</t>
        </is>
      </c>
      <c r="I22" s="3" t="inlineStr">
        <is>
          <t>RHS</t>
        </is>
      </c>
    </row>
    <row r="23">
      <c r="A23" s="4" t="inlineStr">
        <is>
          <t>Coef. objetivo</t>
        </is>
      </c>
      <c r="B23" s="5" t="n">
        <v>120</v>
      </c>
      <c r="C23" s="5" t="n">
        <v>80</v>
      </c>
      <c r="D23" s="5" t="n">
        <v>100</v>
      </c>
      <c r="E23" s="5" t="n">
        <v>150</v>
      </c>
    </row>
    <row r="24">
      <c r="A24" s="4" t="inlineStr">
        <is>
          <t>Variables (x)</t>
        </is>
      </c>
      <c r="B24" s="6" t="n">
        <v>0</v>
      </c>
      <c r="C24" s="6" t="n">
        <v>22</v>
      </c>
      <c r="D24" s="6" t="n">
        <v>4</v>
      </c>
      <c r="E24" s="6" t="n">
        <v>0</v>
      </c>
      <c r="G24" s="7">
        <f>SUMPRODUCT(B23:E23,B24:E24)</f>
        <v/>
      </c>
      <c r="H24" s="4">
        <f> z</f>
        <v/>
      </c>
    </row>
    <row r="25"/>
    <row r="26">
      <c r="A26" s="4" t="inlineStr">
        <is>
          <t>Restricción 1</t>
        </is>
      </c>
      <c r="B26" s="8" t="n">
        <v>4</v>
      </c>
      <c r="C26" s="8" t="n">
        <v>1</v>
      </c>
      <c r="D26" s="8" t="n">
        <v>2</v>
      </c>
      <c r="E26" s="8" t="n">
        <v>3</v>
      </c>
      <c r="G26" s="9">
        <f>SUMPRODUCT(B26:E26,$B$24:$E$24)</f>
        <v/>
      </c>
      <c r="H26" s="10" t="inlineStr">
        <is>
          <t>&lt;=</t>
        </is>
      </c>
      <c r="I26" s="8" t="n">
        <v>60</v>
      </c>
      <c r="J26" s="11">
        <f>I26-G26</f>
        <v/>
      </c>
      <c r="K26" t="inlineStr">
        <is>
          <t>holgura s1</t>
        </is>
      </c>
    </row>
    <row r="27">
      <c r="A27" s="4" t="inlineStr">
        <is>
          <t>Restricción 2</t>
        </is>
      </c>
      <c r="B27" s="8" t="n">
        <v>2</v>
      </c>
      <c r="C27" s="8" t="n">
        <v>2</v>
      </c>
      <c r="D27" s="8" t="n">
        <v>1</v>
      </c>
      <c r="E27" s="8" t="n">
        <v>3</v>
      </c>
      <c r="G27" s="9">
        <f>SUMPRODUCT(B27:E27,$B$24:$E$24)</f>
        <v/>
      </c>
      <c r="H27" s="10" t="inlineStr">
        <is>
          <t>&lt;=</t>
        </is>
      </c>
      <c r="I27" s="8" t="n">
        <v>48</v>
      </c>
      <c r="J27" s="11">
        <f>I27-G27</f>
        <v/>
      </c>
      <c r="K27" t="inlineStr">
        <is>
          <t>holgura s2</t>
        </is>
      </c>
    </row>
    <row r="28">
      <c r="A28" s="4" t="inlineStr">
        <is>
          <t>Restricción 3</t>
        </is>
      </c>
      <c r="B28" s="8" t="n">
        <v>1</v>
      </c>
      <c r="C28" s="8" t="n">
        <v>1</v>
      </c>
      <c r="D28" s="8" t="n">
        <v>3</v>
      </c>
      <c r="E28" s="8" t="n">
        <v>2</v>
      </c>
      <c r="G28" s="9">
        <f>SUMPRODUCT(B28:E28,$B$24:$E$24)</f>
        <v/>
      </c>
      <c r="H28" s="10" t="inlineStr">
        <is>
          <t>&lt;=</t>
        </is>
      </c>
      <c r="I28" s="8" t="n">
        <v>36</v>
      </c>
      <c r="J28" s="11">
        <f>I28-G28</f>
        <v/>
      </c>
      <c r="K28" t="inlineStr">
        <is>
          <t>holgura s3</t>
        </is>
      </c>
    </row>
    <row r="29">
      <c r="A29" s="4" t="inlineStr">
        <is>
          <t>Restricción 4</t>
        </is>
      </c>
      <c r="B29" s="8" t="n">
        <v>3</v>
      </c>
      <c r="C29" s="8" t="n">
        <v>1</v>
      </c>
      <c r="D29" s="8" t="n">
        <v>2</v>
      </c>
      <c r="E29" s="8" t="n">
        <v>4</v>
      </c>
      <c r="G29" s="9">
        <f>SUMPRODUCT(B29:E29,$B$24:$E$24)</f>
        <v/>
      </c>
      <c r="H29" s="10" t="inlineStr">
        <is>
          <t>&lt;=</t>
        </is>
      </c>
      <c r="I29" s="8" t="n">
        <v>30</v>
      </c>
      <c r="J29" s="11">
        <f>I29-G29</f>
        <v/>
      </c>
      <c r="K29" t="inlineStr">
        <is>
          <t>holgura s4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24" customWidth="1" min="11" max="11"/>
  </cols>
  <sheetData>
    <row r="1">
      <c r="A1" s="1" t="inlineStr">
        <is>
          <t>Ejercicio 1 (a) — Algoritmo simplex, procedimiento completo</t>
        </is>
      </c>
    </row>
    <row r="2"/>
    <row r="3">
      <c r="A3" t="inlineStr">
        <is>
          <t>Criterio de entrada (regla de Dantzig): entra a la base la variable con el coeficiente más negativo de la fila z.</t>
        </is>
      </c>
    </row>
    <row r="4">
      <c r="A4" t="inlineStr">
        <is>
          <t>Criterio de salida (prueba de la razón mínima): sale la variable básica con menor cociente RHS / coeficiente de la columna pivote, considerando solo coeficientes positivos.</t>
        </is>
      </c>
    </row>
    <row r="5">
      <c r="A5" t="inlineStr">
        <is>
          <t>Celda pivote resaltada en naranja; columna pivote en amarillo. Cada tableau se obtiene del anterior normalizando la fila pivote y eliminando la columna pivote del resto de filas.</t>
        </is>
      </c>
    </row>
    <row r="6"/>
    <row r="7">
      <c r="A7" s="2" t="inlineStr">
        <is>
          <t>Tableau inicial (base: s1, s2, s3, s4) | Entra x4, sale s4</t>
        </is>
      </c>
    </row>
    <row r="8">
      <c r="A8" s="12" t="inlineStr">
        <is>
          <t>Básica</t>
        </is>
      </c>
      <c r="B8" s="12" t="inlineStr">
        <is>
          <t>x1</t>
        </is>
      </c>
      <c r="C8" s="12" t="inlineStr">
        <is>
          <t>x2</t>
        </is>
      </c>
      <c r="D8" s="12" t="inlineStr">
        <is>
          <t>x3</t>
        </is>
      </c>
      <c r="E8" s="12" t="inlineStr">
        <is>
          <t>x4</t>
        </is>
      </c>
      <c r="F8" s="12" t="inlineStr">
        <is>
          <t>s1</t>
        </is>
      </c>
      <c r="G8" s="12" t="inlineStr">
        <is>
          <t>s2</t>
        </is>
      </c>
      <c r="H8" s="12" t="inlineStr">
        <is>
          <t>s3</t>
        </is>
      </c>
      <c r="I8" s="12" t="inlineStr">
        <is>
          <t>s4</t>
        </is>
      </c>
      <c r="J8" s="12" t="inlineStr">
        <is>
          <t>RHS</t>
        </is>
      </c>
      <c r="K8" s="12" t="inlineStr">
        <is>
          <t>Razón RHS/col. pivote</t>
        </is>
      </c>
    </row>
    <row r="9">
      <c r="A9" s="13" t="inlineStr">
        <is>
          <t>z</t>
        </is>
      </c>
      <c r="B9" s="9" t="n">
        <v>-120</v>
      </c>
      <c r="C9" s="9" t="n">
        <v>-80</v>
      </c>
      <c r="D9" s="9" t="n">
        <v>-100</v>
      </c>
      <c r="E9" s="14" t="n">
        <v>-150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</row>
    <row r="10">
      <c r="A10" s="13" t="inlineStr">
        <is>
          <t>s1</t>
        </is>
      </c>
      <c r="B10" s="9" t="n">
        <v>4</v>
      </c>
      <c r="C10" s="9" t="n">
        <v>1</v>
      </c>
      <c r="D10" s="9" t="n">
        <v>2</v>
      </c>
      <c r="E10" s="14" t="n">
        <v>3</v>
      </c>
      <c r="F10" s="9" t="n">
        <v>1</v>
      </c>
      <c r="G10" s="9" t="n">
        <v>0</v>
      </c>
      <c r="H10" s="9" t="n">
        <v>0</v>
      </c>
      <c r="I10" s="9" t="n">
        <v>0</v>
      </c>
      <c r="J10" s="9" t="n">
        <v>60</v>
      </c>
      <c r="K10" s="9" t="n">
        <v>20</v>
      </c>
    </row>
    <row r="11">
      <c r="A11" s="13" t="inlineStr">
        <is>
          <t>s2</t>
        </is>
      </c>
      <c r="B11" s="9" t="n">
        <v>2</v>
      </c>
      <c r="C11" s="9" t="n">
        <v>2</v>
      </c>
      <c r="D11" s="9" t="n">
        <v>1</v>
      </c>
      <c r="E11" s="14" t="n">
        <v>3</v>
      </c>
      <c r="F11" s="9" t="n">
        <v>0</v>
      </c>
      <c r="G11" s="9" t="n">
        <v>1</v>
      </c>
      <c r="H11" s="9" t="n">
        <v>0</v>
      </c>
      <c r="I11" s="9" t="n">
        <v>0</v>
      </c>
      <c r="J11" s="9" t="n">
        <v>48</v>
      </c>
      <c r="K11" s="9" t="n">
        <v>16</v>
      </c>
    </row>
    <row r="12">
      <c r="A12" s="13" t="inlineStr">
        <is>
          <t>s3</t>
        </is>
      </c>
      <c r="B12" s="9" t="n">
        <v>1</v>
      </c>
      <c r="C12" s="9" t="n">
        <v>1</v>
      </c>
      <c r="D12" s="9" t="n">
        <v>3</v>
      </c>
      <c r="E12" s="14" t="n">
        <v>2</v>
      </c>
      <c r="F12" s="9" t="n">
        <v>0</v>
      </c>
      <c r="G12" s="9" t="n">
        <v>0</v>
      </c>
      <c r="H12" s="9" t="n">
        <v>1</v>
      </c>
      <c r="I12" s="9" t="n">
        <v>0</v>
      </c>
      <c r="J12" s="9" t="n">
        <v>36</v>
      </c>
      <c r="K12" s="9" t="n">
        <v>18</v>
      </c>
    </row>
    <row r="13">
      <c r="A13" s="13" t="inlineStr">
        <is>
          <t>s4</t>
        </is>
      </c>
      <c r="B13" s="9" t="n">
        <v>3</v>
      </c>
      <c r="C13" s="9" t="n">
        <v>1</v>
      </c>
      <c r="D13" s="9" t="n">
        <v>2</v>
      </c>
      <c r="E13" s="15" t="n">
        <v>4</v>
      </c>
      <c r="F13" s="9" t="n">
        <v>0</v>
      </c>
      <c r="G13" s="9" t="n">
        <v>0</v>
      </c>
      <c r="H13" s="9" t="n">
        <v>0</v>
      </c>
      <c r="I13" s="9" t="n">
        <v>1</v>
      </c>
      <c r="J13" s="9" t="n">
        <v>30</v>
      </c>
      <c r="K13" s="15" t="n">
        <v>7.5</v>
      </c>
    </row>
    <row r="14">
      <c r="A14" s="16" t="inlineStr">
        <is>
          <t>Entra x4 (coef. más negativo en fila z: -150.0000). Sale s4 (razón mínima = 7.5000). Elemento pivote = 4.0000.</t>
        </is>
      </c>
    </row>
    <row r="15"/>
    <row r="16"/>
    <row r="17">
      <c r="A17" s="2" t="inlineStr">
        <is>
          <t>Tableau 1 (base: s1, s2, s3, x4) | Entra x2, sale s2</t>
        </is>
      </c>
    </row>
    <row r="18">
      <c r="A18" s="12" t="inlineStr">
        <is>
          <t>Básica</t>
        </is>
      </c>
      <c r="B18" s="12" t="inlineStr">
        <is>
          <t>x1</t>
        </is>
      </c>
      <c r="C18" s="12" t="inlineStr">
        <is>
          <t>x2</t>
        </is>
      </c>
      <c r="D18" s="12" t="inlineStr">
        <is>
          <t>x3</t>
        </is>
      </c>
      <c r="E18" s="12" t="inlineStr">
        <is>
          <t>x4</t>
        </is>
      </c>
      <c r="F18" s="12" t="inlineStr">
        <is>
          <t>s1</t>
        </is>
      </c>
      <c r="G18" s="12" t="inlineStr">
        <is>
          <t>s2</t>
        </is>
      </c>
      <c r="H18" s="12" t="inlineStr">
        <is>
          <t>s3</t>
        </is>
      </c>
      <c r="I18" s="12" t="inlineStr">
        <is>
          <t>s4</t>
        </is>
      </c>
      <c r="J18" s="12" t="inlineStr">
        <is>
          <t>RHS</t>
        </is>
      </c>
      <c r="K18" s="12" t="inlineStr">
        <is>
          <t>Razón RHS/col. pivote</t>
        </is>
      </c>
    </row>
    <row r="19">
      <c r="A19" s="13" t="inlineStr">
        <is>
          <t>z</t>
        </is>
      </c>
      <c r="B19" s="9" t="n">
        <v>-7.5</v>
      </c>
      <c r="C19" s="14" t="n">
        <v>-42.5</v>
      </c>
      <c r="D19" s="9" t="n">
        <v>-25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37.5</v>
      </c>
      <c r="J19" s="9" t="n">
        <v>1125</v>
      </c>
    </row>
    <row r="20">
      <c r="A20" s="13" t="inlineStr">
        <is>
          <t>s1</t>
        </is>
      </c>
      <c r="B20" s="9" t="n">
        <v>1.75</v>
      </c>
      <c r="C20" s="14" t="n">
        <v>0.25</v>
      </c>
      <c r="D20" s="9" t="n">
        <v>0.5</v>
      </c>
      <c r="E20" s="9" t="n">
        <v>0</v>
      </c>
      <c r="F20" s="9" t="n">
        <v>1</v>
      </c>
      <c r="G20" s="9" t="n">
        <v>0</v>
      </c>
      <c r="H20" s="9" t="n">
        <v>0</v>
      </c>
      <c r="I20" s="9" t="n">
        <v>-0.75</v>
      </c>
      <c r="J20" s="9" t="n">
        <v>37.5</v>
      </c>
      <c r="K20" s="9" t="n">
        <v>150</v>
      </c>
    </row>
    <row r="21">
      <c r="A21" s="13" t="inlineStr">
        <is>
          <t>s2</t>
        </is>
      </c>
      <c r="B21" s="9" t="n">
        <v>-0.25</v>
      </c>
      <c r="C21" s="15" t="n">
        <v>1.25</v>
      </c>
      <c r="D21" s="9" t="n">
        <v>-0.5</v>
      </c>
      <c r="E21" s="9" t="n">
        <v>0</v>
      </c>
      <c r="F21" s="9" t="n">
        <v>0</v>
      </c>
      <c r="G21" s="9" t="n">
        <v>1</v>
      </c>
      <c r="H21" s="9" t="n">
        <v>0</v>
      </c>
      <c r="I21" s="9" t="n">
        <v>-0.75</v>
      </c>
      <c r="J21" s="9" t="n">
        <v>25.5</v>
      </c>
      <c r="K21" s="15" t="n">
        <v>20.4</v>
      </c>
    </row>
    <row r="22">
      <c r="A22" s="13" t="inlineStr">
        <is>
          <t>s3</t>
        </is>
      </c>
      <c r="B22" s="9" t="n">
        <v>-0.5</v>
      </c>
      <c r="C22" s="14" t="n">
        <v>0.5</v>
      </c>
      <c r="D22" s="9" t="n">
        <v>2</v>
      </c>
      <c r="E22" s="9" t="n">
        <v>0</v>
      </c>
      <c r="F22" s="9" t="n">
        <v>0</v>
      </c>
      <c r="G22" s="9" t="n">
        <v>0</v>
      </c>
      <c r="H22" s="9" t="n">
        <v>1</v>
      </c>
      <c r="I22" s="9" t="n">
        <v>-0.5</v>
      </c>
      <c r="J22" s="9" t="n">
        <v>21</v>
      </c>
      <c r="K22" s="9" t="n">
        <v>42</v>
      </c>
    </row>
    <row r="23">
      <c r="A23" s="13" t="inlineStr">
        <is>
          <t>x4</t>
        </is>
      </c>
      <c r="B23" s="9" t="n">
        <v>0.75</v>
      </c>
      <c r="C23" s="14" t="n">
        <v>0.25</v>
      </c>
      <c r="D23" s="9" t="n">
        <v>0.5</v>
      </c>
      <c r="E23" s="9" t="n">
        <v>1</v>
      </c>
      <c r="F23" s="9" t="n">
        <v>0</v>
      </c>
      <c r="G23" s="9" t="n">
        <v>0</v>
      </c>
      <c r="H23" s="9" t="n">
        <v>0</v>
      </c>
      <c r="I23" s="9" t="n">
        <v>0.25</v>
      </c>
      <c r="J23" s="9" t="n">
        <v>7.5</v>
      </c>
      <c r="K23" s="9" t="n">
        <v>30</v>
      </c>
    </row>
    <row r="24">
      <c r="A24" s="16" t="inlineStr">
        <is>
          <t>Entra x2 (coef. más negativo en fila z: -42.5000). Sale s2 (razón mínima = 20.4000). Elemento pivote = 1.2500.</t>
        </is>
      </c>
    </row>
    <row r="25"/>
    <row r="26"/>
    <row r="27">
      <c r="A27" s="2" t="inlineStr">
        <is>
          <t>Tableau 2 (base: s1, x2, s3, x4) | Entra x3, sale x4</t>
        </is>
      </c>
    </row>
    <row r="28">
      <c r="A28" s="12" t="inlineStr">
        <is>
          <t>Básica</t>
        </is>
      </c>
      <c r="B28" s="12" t="inlineStr">
        <is>
          <t>x1</t>
        </is>
      </c>
      <c r="C28" s="12" t="inlineStr">
        <is>
          <t>x2</t>
        </is>
      </c>
      <c r="D28" s="12" t="inlineStr">
        <is>
          <t>x3</t>
        </is>
      </c>
      <c r="E28" s="12" t="inlineStr">
        <is>
          <t>x4</t>
        </is>
      </c>
      <c r="F28" s="12" t="inlineStr">
        <is>
          <t>s1</t>
        </is>
      </c>
      <c r="G28" s="12" t="inlineStr">
        <is>
          <t>s2</t>
        </is>
      </c>
      <c r="H28" s="12" t="inlineStr">
        <is>
          <t>s3</t>
        </is>
      </c>
      <c r="I28" s="12" t="inlineStr">
        <is>
          <t>s4</t>
        </is>
      </c>
      <c r="J28" s="12" t="inlineStr">
        <is>
          <t>RHS</t>
        </is>
      </c>
      <c r="K28" s="12" t="inlineStr">
        <is>
          <t>Razón RHS/col. pivote</t>
        </is>
      </c>
    </row>
    <row r="29">
      <c r="A29" s="13" t="inlineStr">
        <is>
          <t>z</t>
        </is>
      </c>
      <c r="B29" s="9" t="n">
        <v>-16</v>
      </c>
      <c r="C29" s="9" t="n">
        <v>0</v>
      </c>
      <c r="D29" s="14" t="n">
        <v>-42</v>
      </c>
      <c r="E29" s="9" t="n">
        <v>0</v>
      </c>
      <c r="F29" s="9" t="n">
        <v>0</v>
      </c>
      <c r="G29" s="9" t="n">
        <v>34</v>
      </c>
      <c r="H29" s="9" t="n">
        <v>0</v>
      </c>
      <c r="I29" s="9" t="n">
        <v>12</v>
      </c>
      <c r="J29" s="9" t="n">
        <v>1992</v>
      </c>
    </row>
    <row r="30">
      <c r="A30" s="13" t="inlineStr">
        <is>
          <t>s1</t>
        </is>
      </c>
      <c r="B30" s="9" t="n">
        <v>1.8</v>
      </c>
      <c r="C30" s="9" t="n">
        <v>0</v>
      </c>
      <c r="D30" s="14" t="n">
        <v>0.6</v>
      </c>
      <c r="E30" s="9" t="n">
        <v>0</v>
      </c>
      <c r="F30" s="9" t="n">
        <v>1</v>
      </c>
      <c r="G30" s="9" t="n">
        <v>-0.2</v>
      </c>
      <c r="H30" s="9" t="n">
        <v>0</v>
      </c>
      <c r="I30" s="9" t="n">
        <v>-0.6</v>
      </c>
      <c r="J30" s="9" t="n">
        <v>32.4</v>
      </c>
      <c r="K30" s="9" t="n">
        <v>54</v>
      </c>
    </row>
    <row r="31">
      <c r="A31" s="13" t="inlineStr">
        <is>
          <t>x2</t>
        </is>
      </c>
      <c r="B31" s="9" t="n">
        <v>-0.2</v>
      </c>
      <c r="C31" s="9" t="n">
        <v>1</v>
      </c>
      <c r="D31" s="14" t="n">
        <v>-0.4</v>
      </c>
      <c r="E31" s="9" t="n">
        <v>0</v>
      </c>
      <c r="F31" s="9" t="n">
        <v>0</v>
      </c>
      <c r="G31" s="9" t="n">
        <v>0.8</v>
      </c>
      <c r="H31" s="9" t="n">
        <v>0</v>
      </c>
      <c r="I31" s="9" t="n">
        <v>-0.6</v>
      </c>
      <c r="J31" s="9" t="n">
        <v>20.4</v>
      </c>
      <c r="K31" s="8" t="inlineStr">
        <is>
          <t>no aplica (coef. ≤ 0)</t>
        </is>
      </c>
    </row>
    <row r="32">
      <c r="A32" s="13" t="inlineStr">
        <is>
          <t>s3</t>
        </is>
      </c>
      <c r="B32" s="9" t="n">
        <v>-0.4</v>
      </c>
      <c r="C32" s="9" t="n">
        <v>0</v>
      </c>
      <c r="D32" s="14" t="n">
        <v>2.2</v>
      </c>
      <c r="E32" s="9" t="n">
        <v>0</v>
      </c>
      <c r="F32" s="9" t="n">
        <v>0</v>
      </c>
      <c r="G32" s="9" t="n">
        <v>-0.4</v>
      </c>
      <c r="H32" s="9" t="n">
        <v>1</v>
      </c>
      <c r="I32" s="9" t="n">
        <v>-0.2</v>
      </c>
      <c r="J32" s="9" t="n">
        <v>10.8</v>
      </c>
      <c r="K32" s="9" t="n">
        <v>4.909090909090909</v>
      </c>
    </row>
    <row r="33">
      <c r="A33" s="13" t="inlineStr">
        <is>
          <t>x4</t>
        </is>
      </c>
      <c r="B33" s="9" t="n">
        <v>0.8</v>
      </c>
      <c r="C33" s="9" t="n">
        <v>0</v>
      </c>
      <c r="D33" s="15" t="n">
        <v>0.6</v>
      </c>
      <c r="E33" s="9" t="n">
        <v>1</v>
      </c>
      <c r="F33" s="9" t="n">
        <v>0</v>
      </c>
      <c r="G33" s="9" t="n">
        <v>-0.2</v>
      </c>
      <c r="H33" s="9" t="n">
        <v>0</v>
      </c>
      <c r="I33" s="9" t="n">
        <v>0.4</v>
      </c>
      <c r="J33" s="9" t="n">
        <v>2.4</v>
      </c>
      <c r="K33" s="15" t="n">
        <v>4</v>
      </c>
    </row>
    <row r="34">
      <c r="A34" s="16" t="inlineStr">
        <is>
          <t>Entra x3 (coef. más negativo en fila z: -42.0000). Sale x4 (razón mínima = 4.0000). Elemento pivote = 0.6000.</t>
        </is>
      </c>
    </row>
    <row r="35"/>
    <row r="36"/>
    <row r="37">
      <c r="A37" s="2" t="inlineStr">
        <is>
          <t>Tableau 3 (base: s1, x2, s3, x3)</t>
        </is>
      </c>
    </row>
    <row r="38">
      <c r="A38" s="12" t="inlineStr">
        <is>
          <t>Básica</t>
        </is>
      </c>
      <c r="B38" s="12" t="inlineStr">
        <is>
          <t>x1</t>
        </is>
      </c>
      <c r="C38" s="12" t="inlineStr">
        <is>
          <t>x2</t>
        </is>
      </c>
      <c r="D38" s="12" t="inlineStr">
        <is>
          <t>x3</t>
        </is>
      </c>
      <c r="E38" s="12" t="inlineStr">
        <is>
          <t>x4</t>
        </is>
      </c>
      <c r="F38" s="12" t="inlineStr">
        <is>
          <t>s1</t>
        </is>
      </c>
      <c r="G38" s="12" t="inlineStr">
        <is>
          <t>s2</t>
        </is>
      </c>
      <c r="H38" s="12" t="inlineStr">
        <is>
          <t>s3</t>
        </is>
      </c>
      <c r="I38" s="12" t="inlineStr">
        <is>
          <t>s4</t>
        </is>
      </c>
      <c r="J38" s="12" t="inlineStr">
        <is>
          <t>RHS</t>
        </is>
      </c>
    </row>
    <row r="39">
      <c r="A39" s="13" t="inlineStr">
        <is>
          <t>z</t>
        </is>
      </c>
      <c r="B39" s="9" t="n">
        <v>40</v>
      </c>
      <c r="C39" s="9" t="n">
        <v>0</v>
      </c>
      <c r="D39" s="9" t="n">
        <v>0</v>
      </c>
      <c r="E39" s="9" t="n">
        <v>70</v>
      </c>
      <c r="F39" s="9" t="n">
        <v>0</v>
      </c>
      <c r="G39" s="9" t="n">
        <v>20</v>
      </c>
      <c r="H39" s="9" t="n">
        <v>0</v>
      </c>
      <c r="I39" s="9" t="n">
        <v>40</v>
      </c>
      <c r="J39" s="9" t="n">
        <v>2160</v>
      </c>
    </row>
    <row r="40">
      <c r="A40" s="13" t="inlineStr">
        <is>
          <t>s1</t>
        </is>
      </c>
      <c r="B40" s="9" t="n">
        <v>1</v>
      </c>
      <c r="C40" s="9" t="n">
        <v>0</v>
      </c>
      <c r="D40" s="9" t="n">
        <v>0</v>
      </c>
      <c r="E40" s="9" t="n">
        <v>-1</v>
      </c>
      <c r="F40" s="9" t="n">
        <v>1</v>
      </c>
      <c r="G40" s="9" t="n">
        <v>0</v>
      </c>
      <c r="H40" s="9" t="n">
        <v>0</v>
      </c>
      <c r="I40" s="9" t="n">
        <v>-1</v>
      </c>
      <c r="J40" s="9" t="n">
        <v>30</v>
      </c>
    </row>
    <row r="41">
      <c r="A41" s="13" t="inlineStr">
        <is>
          <t>x2</t>
        </is>
      </c>
      <c r="B41" s="9" t="n">
        <v>0.3333333333333333</v>
      </c>
      <c r="C41" s="9" t="n">
        <v>1</v>
      </c>
      <c r="D41" s="9" t="n">
        <v>0</v>
      </c>
      <c r="E41" s="9" t="n">
        <v>0.6666666666666666</v>
      </c>
      <c r="F41" s="9" t="n">
        <v>0</v>
      </c>
      <c r="G41" s="9" t="n">
        <v>0.6666666666666666</v>
      </c>
      <c r="H41" s="9" t="n">
        <v>0</v>
      </c>
      <c r="I41" s="9" t="n">
        <v>-0.3333333333333333</v>
      </c>
      <c r="J41" s="9" t="n">
        <v>22</v>
      </c>
    </row>
    <row r="42">
      <c r="A42" s="13" t="inlineStr">
        <is>
          <t>s3</t>
        </is>
      </c>
      <c r="B42" s="9" t="n">
        <v>-3.333333333333333</v>
      </c>
      <c r="C42" s="9" t="n">
        <v>0</v>
      </c>
      <c r="D42" s="9" t="n">
        <v>0</v>
      </c>
      <c r="E42" s="9" t="n">
        <v>-3.666666666666667</v>
      </c>
      <c r="F42" s="9" t="n">
        <v>0</v>
      </c>
      <c r="G42" s="9" t="n">
        <v>0.3333333333333333</v>
      </c>
      <c r="H42" s="9" t="n">
        <v>1</v>
      </c>
      <c r="I42" s="9" t="n">
        <v>-1.666666666666667</v>
      </c>
      <c r="J42" s="9" t="n">
        <v>2</v>
      </c>
    </row>
    <row r="43">
      <c r="A43" s="13" t="inlineStr">
        <is>
          <t>x3</t>
        </is>
      </c>
      <c r="B43" s="9" t="n">
        <v>1.333333333333333</v>
      </c>
      <c r="C43" s="9" t="n">
        <v>0</v>
      </c>
      <c r="D43" s="9" t="n">
        <v>1</v>
      </c>
      <c r="E43" s="9" t="n">
        <v>1.666666666666667</v>
      </c>
      <c r="F43" s="9" t="n">
        <v>0</v>
      </c>
      <c r="G43" s="9" t="n">
        <v>-0.3333333333333333</v>
      </c>
      <c r="H43" s="9" t="n">
        <v>0</v>
      </c>
      <c r="I43" s="9" t="n">
        <v>0.6666666666666666</v>
      </c>
      <c r="J43" s="9" t="n">
        <v>4</v>
      </c>
    </row>
    <row r="44"/>
    <row r="45"/>
    <row r="46">
      <c r="A46" s="2" t="inlineStr">
        <is>
          <t>Tableau final (óptimo: no hay coeficientes negativos en la fila z)</t>
        </is>
      </c>
    </row>
    <row r="47">
      <c r="A47" s="12" t="inlineStr">
        <is>
          <t>Básica</t>
        </is>
      </c>
      <c r="B47" s="12" t="inlineStr">
        <is>
          <t>x1</t>
        </is>
      </c>
      <c r="C47" s="12" t="inlineStr">
        <is>
          <t>x2</t>
        </is>
      </c>
      <c r="D47" s="12" t="inlineStr">
        <is>
          <t>x3</t>
        </is>
      </c>
      <c r="E47" s="12" t="inlineStr">
        <is>
          <t>x4</t>
        </is>
      </c>
      <c r="F47" s="12" t="inlineStr">
        <is>
          <t>s1</t>
        </is>
      </c>
      <c r="G47" s="12" t="inlineStr">
        <is>
          <t>s2</t>
        </is>
      </c>
      <c r="H47" s="12" t="inlineStr">
        <is>
          <t>s3</t>
        </is>
      </c>
      <c r="I47" s="12" t="inlineStr">
        <is>
          <t>s4</t>
        </is>
      </c>
      <c r="J47" s="12" t="inlineStr">
        <is>
          <t>RHS</t>
        </is>
      </c>
    </row>
    <row r="48">
      <c r="A48" s="13" t="inlineStr">
        <is>
          <t>z</t>
        </is>
      </c>
      <c r="B48" s="9" t="n">
        <v>40</v>
      </c>
      <c r="C48" s="9" t="n">
        <v>0</v>
      </c>
      <c r="D48" s="9" t="n">
        <v>0</v>
      </c>
      <c r="E48" s="9" t="n">
        <v>70</v>
      </c>
      <c r="F48" s="9" t="n">
        <v>0</v>
      </c>
      <c r="G48" s="9" t="n">
        <v>20</v>
      </c>
      <c r="H48" s="9" t="n">
        <v>0</v>
      </c>
      <c r="I48" s="9" t="n">
        <v>40</v>
      </c>
      <c r="J48" s="9" t="n">
        <v>2160</v>
      </c>
    </row>
    <row r="49">
      <c r="A49" s="13" t="inlineStr">
        <is>
          <t>s1</t>
        </is>
      </c>
      <c r="B49" s="9" t="n">
        <v>1</v>
      </c>
      <c r="C49" s="9" t="n">
        <v>0</v>
      </c>
      <c r="D49" s="9" t="n">
        <v>0</v>
      </c>
      <c r="E49" s="9" t="n">
        <v>-1</v>
      </c>
      <c r="F49" s="9" t="n">
        <v>1</v>
      </c>
      <c r="G49" s="9" t="n">
        <v>0</v>
      </c>
      <c r="H49" s="9" t="n">
        <v>0</v>
      </c>
      <c r="I49" s="9" t="n">
        <v>-1</v>
      </c>
      <c r="J49" s="9" t="n">
        <v>30</v>
      </c>
    </row>
    <row r="50">
      <c r="A50" s="13" t="inlineStr">
        <is>
          <t>x2</t>
        </is>
      </c>
      <c r="B50" s="9" t="n">
        <v>0.3333333333333333</v>
      </c>
      <c r="C50" s="9" t="n">
        <v>1</v>
      </c>
      <c r="D50" s="9" t="n">
        <v>0</v>
      </c>
      <c r="E50" s="9" t="n">
        <v>0.6666666666666666</v>
      </c>
      <c r="F50" s="9" t="n">
        <v>0</v>
      </c>
      <c r="G50" s="9" t="n">
        <v>0.6666666666666666</v>
      </c>
      <c r="H50" s="9" t="n">
        <v>0</v>
      </c>
      <c r="I50" s="9" t="n">
        <v>-0.3333333333333333</v>
      </c>
      <c r="J50" s="9" t="n">
        <v>22</v>
      </c>
    </row>
    <row r="51">
      <c r="A51" s="13" t="inlineStr">
        <is>
          <t>s3</t>
        </is>
      </c>
      <c r="B51" s="9" t="n">
        <v>-3.333333333333333</v>
      </c>
      <c r="C51" s="9" t="n">
        <v>0</v>
      </c>
      <c r="D51" s="9" t="n">
        <v>0</v>
      </c>
      <c r="E51" s="9" t="n">
        <v>-3.666666666666667</v>
      </c>
      <c r="F51" s="9" t="n">
        <v>0</v>
      </c>
      <c r="G51" s="9" t="n">
        <v>0.3333333333333333</v>
      </c>
      <c r="H51" s="9" t="n">
        <v>1</v>
      </c>
      <c r="I51" s="9" t="n">
        <v>-1.666666666666667</v>
      </c>
      <c r="J51" s="9" t="n">
        <v>2</v>
      </c>
    </row>
    <row r="52">
      <c r="A52" s="13" t="inlineStr">
        <is>
          <t>x3</t>
        </is>
      </c>
      <c r="B52" s="9" t="n">
        <v>1.333333333333333</v>
      </c>
      <c r="C52" s="9" t="n">
        <v>0</v>
      </c>
      <c r="D52" s="9" t="n">
        <v>1</v>
      </c>
      <c r="E52" s="9" t="n">
        <v>1.666666666666667</v>
      </c>
      <c r="F52" s="9" t="n">
        <v>0</v>
      </c>
      <c r="G52" s="9" t="n">
        <v>-0.3333333333333333</v>
      </c>
      <c r="H52" s="9" t="n">
        <v>0</v>
      </c>
      <c r="I52" s="9" t="n">
        <v>0.6666666666666666</v>
      </c>
      <c r="J52" s="9" t="n">
        <v>4</v>
      </c>
    </row>
    <row r="53"/>
    <row r="54"/>
    <row r="55">
      <c r="A55" s="4" t="inlineStr">
        <is>
          <t>Tableau final: todos los coeficientes de la fila z son ≥ 0, por lo que no existe ninguna variable no básica que al entrar mejore el valor de z. Se alcanzó el óptimo.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15" customWidth="1" min="4" max="4"/>
    <col width="10" customWidth="1" min="5" max="5"/>
    <col width="10" customWidth="1" min="6" max="6"/>
    <col width="27" customWidth="1" min="7" max="7"/>
  </cols>
  <sheetData>
    <row r="1">
      <c r="A1" s="1" t="inlineStr">
        <is>
          <t>Ejercicio 1 — Solución óptima y comprobación</t>
        </is>
      </c>
    </row>
    <row r="2"/>
    <row r="3">
      <c r="A3" s="2" t="inlineStr">
        <is>
          <t>Solución óptima obtenida con el simplex</t>
        </is>
      </c>
    </row>
    <row r="4">
      <c r="A4" s="3" t="inlineStr">
        <is>
          <t>Variable</t>
        </is>
      </c>
      <c r="B4" s="3" t="inlineStr">
        <is>
          <t>Valor</t>
        </is>
      </c>
      <c r="C4" s="3" t="inlineStr">
        <is>
          <t>Estado</t>
        </is>
      </c>
    </row>
    <row r="5">
      <c r="A5" s="17" t="inlineStr">
        <is>
          <t>x1</t>
        </is>
      </c>
      <c r="B5" s="9" t="n">
        <v>0</v>
      </c>
      <c r="C5" s="17" t="inlineStr">
        <is>
          <t>no básica</t>
        </is>
      </c>
    </row>
    <row r="6">
      <c r="A6" s="17" t="inlineStr">
        <is>
          <t>x2</t>
        </is>
      </c>
      <c r="B6" s="6" t="n">
        <v>22</v>
      </c>
      <c r="C6" s="17" t="inlineStr">
        <is>
          <t>básica</t>
        </is>
      </c>
    </row>
    <row r="7">
      <c r="A7" s="17" t="inlineStr">
        <is>
          <t>x3</t>
        </is>
      </c>
      <c r="B7" s="6" t="n">
        <v>4</v>
      </c>
      <c r="C7" s="17" t="inlineStr">
        <is>
          <t>básica</t>
        </is>
      </c>
    </row>
    <row r="8">
      <c r="A8" s="17" t="inlineStr">
        <is>
          <t>x4</t>
        </is>
      </c>
      <c r="B8" s="9" t="n">
        <v>0</v>
      </c>
      <c r="C8" s="17" t="inlineStr">
        <is>
          <t>no básica</t>
        </is>
      </c>
    </row>
    <row r="9">
      <c r="A9" s="17" t="inlineStr">
        <is>
          <t>s1</t>
        </is>
      </c>
      <c r="B9" s="6" t="n">
        <v>30</v>
      </c>
      <c r="C9" s="17" t="inlineStr">
        <is>
          <t>básica</t>
        </is>
      </c>
    </row>
    <row r="10">
      <c r="A10" s="17" t="inlineStr">
        <is>
          <t>s2</t>
        </is>
      </c>
      <c r="B10" s="9" t="n">
        <v>0</v>
      </c>
      <c r="C10" s="17" t="inlineStr">
        <is>
          <t>no básica</t>
        </is>
      </c>
    </row>
    <row r="11">
      <c r="A11" s="17" t="inlineStr">
        <is>
          <t>s3</t>
        </is>
      </c>
      <c r="B11" s="6" t="n">
        <v>2</v>
      </c>
      <c r="C11" s="17" t="inlineStr">
        <is>
          <t>básica</t>
        </is>
      </c>
    </row>
    <row r="12">
      <c r="A12" s="17" t="inlineStr">
        <is>
          <t>s4</t>
        </is>
      </c>
      <c r="B12" s="9" t="n">
        <v>0</v>
      </c>
      <c r="C12" s="17" t="inlineStr">
        <is>
          <t>no básica</t>
        </is>
      </c>
    </row>
    <row r="13">
      <c r="A13" s="18" t="inlineStr">
        <is>
          <t>z</t>
        </is>
      </c>
      <c r="B13" s="19" t="n">
        <v>2160</v>
      </c>
    </row>
    <row r="14"/>
    <row r="15">
      <c r="A15" s="2" t="inlineStr">
        <is>
          <t>Comprobación de las restricciones en el óptimo</t>
        </is>
      </c>
    </row>
    <row r="16">
      <c r="A16" s="12" t="inlineStr">
        <is>
          <t>Restricción</t>
        </is>
      </c>
      <c r="B16" s="12" t="inlineStr">
        <is>
          <t>LHS (consumo)</t>
        </is>
      </c>
      <c r="C16" s="12" t="inlineStr">
        <is>
          <t>Signo</t>
        </is>
      </c>
      <c r="D16" s="12" t="inlineStr">
        <is>
          <t>RHS (disponible)</t>
        </is>
      </c>
      <c r="E16" s="12" t="inlineStr">
        <is>
          <t>Holgura</t>
        </is>
      </c>
      <c r="F16" s="12" t="inlineStr">
        <is>
          <t>¿Se cumple?</t>
        </is>
      </c>
      <c r="G16" s="12" t="inlineStr">
        <is>
          <t>Estado</t>
        </is>
      </c>
    </row>
    <row r="17">
      <c r="A17" s="17" t="inlineStr">
        <is>
          <t>Restricción 1</t>
        </is>
      </c>
      <c r="B17" s="20" t="n">
        <v>30</v>
      </c>
      <c r="C17" s="10" t="inlineStr">
        <is>
          <t>&lt;=</t>
        </is>
      </c>
      <c r="D17" s="17" t="n">
        <v>60</v>
      </c>
      <c r="E17" s="20" t="n">
        <v>30</v>
      </c>
      <c r="F17" s="17" t="inlineStr">
        <is>
          <t>Sí</t>
        </is>
      </c>
      <c r="G17" s="17" t="inlineStr">
        <is>
          <t>inactiva (sobra recurso)</t>
        </is>
      </c>
    </row>
    <row r="18">
      <c r="A18" s="17" t="inlineStr">
        <is>
          <t>Restricción 2</t>
        </is>
      </c>
      <c r="B18" s="20" t="n">
        <v>48</v>
      </c>
      <c r="C18" s="10" t="inlineStr">
        <is>
          <t>&lt;=</t>
        </is>
      </c>
      <c r="D18" s="17" t="n">
        <v>48</v>
      </c>
      <c r="E18" s="20" t="n">
        <v>0</v>
      </c>
      <c r="F18" s="17" t="inlineStr">
        <is>
          <t>Sí</t>
        </is>
      </c>
      <c r="G18" s="17" t="inlineStr">
        <is>
          <t>activa (saturada)</t>
        </is>
      </c>
    </row>
    <row r="19">
      <c r="A19" s="17" t="inlineStr">
        <is>
          <t>Restricción 3</t>
        </is>
      </c>
      <c r="B19" s="20" t="n">
        <v>34</v>
      </c>
      <c r="C19" s="10" t="inlineStr">
        <is>
          <t>&lt;=</t>
        </is>
      </c>
      <c r="D19" s="17" t="n">
        <v>36</v>
      </c>
      <c r="E19" s="20" t="n">
        <v>2</v>
      </c>
      <c r="F19" s="17" t="inlineStr">
        <is>
          <t>Sí</t>
        </is>
      </c>
      <c r="G19" s="17" t="inlineStr">
        <is>
          <t>inactiva (sobra recurso)</t>
        </is>
      </c>
    </row>
    <row r="20">
      <c r="A20" s="17" t="inlineStr">
        <is>
          <t>Restricción 4</t>
        </is>
      </c>
      <c r="B20" s="20" t="n">
        <v>30</v>
      </c>
      <c r="C20" s="10" t="inlineStr">
        <is>
          <t>&lt;=</t>
        </is>
      </c>
      <c r="D20" s="17" t="n">
        <v>30</v>
      </c>
      <c r="E20" s="20" t="n">
        <v>0</v>
      </c>
      <c r="F20" s="17" t="inlineStr">
        <is>
          <t>Sí</t>
        </is>
      </c>
      <c r="G20" s="17" t="inlineStr">
        <is>
          <t>activa (saturada)</t>
        </is>
      </c>
    </row>
    <row r="21"/>
    <row r="22">
      <c r="A22" s="2" t="inlineStr">
        <is>
          <t>Precios sombra (leídos en la fila z del tableau final, columnas de holgura)</t>
        </is>
      </c>
    </row>
    <row r="23">
      <c r="A23" s="3" t="inlineStr">
        <is>
          <t>Restricción</t>
        </is>
      </c>
      <c r="B23" s="3" t="inlineStr">
        <is>
          <t>Precio sombra</t>
        </is>
      </c>
      <c r="C23" s="3" t="inlineStr">
        <is>
          <t>Interpretación</t>
        </is>
      </c>
    </row>
    <row r="24">
      <c r="A24" s="17" t="inlineStr">
        <is>
          <t>Restricción 1</t>
        </is>
      </c>
      <c r="B24" s="9" t="n">
        <v>0</v>
      </c>
      <c r="C24" s="17" t="inlineStr">
        <is>
          <t>La restricción no está saturada; una unidad adicional no cambia z.</t>
        </is>
      </c>
    </row>
    <row r="25">
      <c r="A25" s="17" t="inlineStr">
        <is>
          <t>Restricción 2</t>
        </is>
      </c>
      <c r="B25" s="9" t="n">
        <v>20</v>
      </c>
      <c r="C25" s="17" t="inlineStr">
        <is>
          <t>Aumentar en 1 unidad el lado derecho incrementa z en 20.00.</t>
        </is>
      </c>
    </row>
    <row r="26">
      <c r="A26" s="17" t="inlineStr">
        <is>
          <t>Restricción 3</t>
        </is>
      </c>
      <c r="B26" s="9" t="n">
        <v>0</v>
      </c>
      <c r="C26" s="17" t="inlineStr">
        <is>
          <t>La restricción no está saturada; una unidad adicional no cambia z.</t>
        </is>
      </c>
    </row>
    <row r="27">
      <c r="A27" s="17" t="inlineStr">
        <is>
          <t>Restricción 4</t>
        </is>
      </c>
      <c r="B27" s="9" t="n">
        <v>40</v>
      </c>
      <c r="C27" s="17" t="inlineStr">
        <is>
          <t>Aumentar en 1 unidad el lado derecho incrementa z en 40.00.</t>
        </is>
      </c>
    </row>
    <row r="28"/>
    <row r="29">
      <c r="A29" s="2" t="inlineStr">
        <is>
          <t>Ejercicio 1 (b) — Comparación con la solución de Pulp</t>
        </is>
      </c>
    </row>
    <row r="30">
      <c r="A30" s="3" t="inlineStr">
        <is>
          <t>Variable</t>
        </is>
      </c>
      <c r="B30" s="3" t="inlineStr">
        <is>
          <t>Simplex (Excel)</t>
        </is>
      </c>
      <c r="C30" s="3" t="inlineStr">
        <is>
          <t>Pulp</t>
        </is>
      </c>
      <c r="D30" s="3" t="inlineStr">
        <is>
          <t>Diferencia</t>
        </is>
      </c>
    </row>
    <row r="31">
      <c r="A31" s="17" t="inlineStr">
        <is>
          <t>x1</t>
        </is>
      </c>
      <c r="B31" s="20" t="n">
        <v>0</v>
      </c>
      <c r="C31" s="20" t="n">
        <v>0</v>
      </c>
      <c r="D31" s="20">
        <f>B31-C31</f>
        <v/>
      </c>
    </row>
    <row r="32">
      <c r="A32" s="17" t="inlineStr">
        <is>
          <t>x2</t>
        </is>
      </c>
      <c r="B32" s="20" t="n">
        <v>22</v>
      </c>
      <c r="C32" s="20" t="n">
        <v>22</v>
      </c>
      <c r="D32" s="20">
        <f>B32-C32</f>
        <v/>
      </c>
    </row>
    <row r="33">
      <c r="A33" s="17" t="inlineStr">
        <is>
          <t>x3</t>
        </is>
      </c>
      <c r="B33" s="20" t="n">
        <v>4</v>
      </c>
      <c r="C33" s="20" t="n">
        <v>4</v>
      </c>
      <c r="D33" s="20">
        <f>B33-C33</f>
        <v/>
      </c>
    </row>
    <row r="34">
      <c r="A34" s="17" t="inlineStr">
        <is>
          <t>x4</t>
        </is>
      </c>
      <c r="B34" s="20" t="n">
        <v>0</v>
      </c>
      <c r="C34" s="20" t="n">
        <v>0</v>
      </c>
      <c r="D34" s="20">
        <f>B34-C34</f>
        <v/>
      </c>
    </row>
    <row r="35">
      <c r="A35" s="4" t="inlineStr">
        <is>
          <t>z</t>
        </is>
      </c>
      <c r="B35" s="21" t="n">
        <v>2160</v>
      </c>
      <c r="C35" s="21" t="n">
        <v>2160</v>
      </c>
      <c r="D35" s="21">
        <f>B35-C35</f>
        <v/>
      </c>
    </row>
    <row r="36"/>
    <row r="37">
      <c r="A37" s="16" t="inlineStr">
        <is>
          <t>Ambos métodos coinciden exactamente: x = (0, 22, 4, 0) con z = 2160. El simplex implementado a mano en las hojas anteriores</t>
        </is>
      </c>
    </row>
    <row r="38">
      <c r="A38" s="16" t="inlineStr">
        <is>
          <t>llega al mismo vértice óptimo que el solver CBC utilizado por Pulp, lo que valida el procedimiento.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2026-09-02T01:46:13Z</dcterms:created>
  <dcterms:modified xsi:type="dcterms:W3CDTF">2026-09-02T01:46:13Z</dcterms:modified>
</cp:coreProperties>
</file>